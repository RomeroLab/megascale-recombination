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oteinpete\Desktop\"/>
    </mc:Choice>
  </mc:AlternateContent>
  <xr:revisionPtr revIDLastSave="0" documentId="8_{998B8BA3-62A1-4F3E-94CE-4C08E2B1D7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s_405_June_2_Raw_Data_&amp;_Plot" sheetId="1" r:id="rId1"/>
  </sheets>
  <calcPr calcId="181029"/>
</workbook>
</file>

<file path=xl/calcChain.xml><?xml version="1.0" encoding="utf-8"?>
<calcChain xmlns="http://schemas.openxmlformats.org/spreadsheetml/2006/main">
  <c r="B51" i="1" l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C50" i="1"/>
  <c r="D50" i="1"/>
  <c r="E50" i="1"/>
  <c r="F50" i="1"/>
  <c r="G50" i="1"/>
  <c r="H50" i="1"/>
  <c r="I50" i="1"/>
  <c r="J50" i="1"/>
  <c r="K50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C44" i="1"/>
  <c r="D44" i="1"/>
  <c r="E44" i="1"/>
  <c r="F44" i="1"/>
  <c r="G44" i="1"/>
  <c r="H44" i="1"/>
  <c r="I44" i="1"/>
  <c r="J44" i="1"/>
  <c r="K44" i="1"/>
  <c r="B50" i="1"/>
  <c r="B44" i="1"/>
</calcChain>
</file>

<file path=xl/sharedStrings.xml><?xml version="1.0" encoding="utf-8"?>
<sst xmlns="http://schemas.openxmlformats.org/spreadsheetml/2006/main" count="185" uniqueCount="140">
  <si>
    <t>Method name: Method 1</t>
  </si>
  <si>
    <t/>
  </si>
  <si>
    <t>Application: SparkControl</t>
  </si>
  <si>
    <t>V2.3</t>
  </si>
  <si>
    <t>Device: Spark 10M</t>
  </si>
  <si>
    <t>Serial number: 1607000652</t>
  </si>
  <si>
    <t>Firmware:</t>
  </si>
  <si>
    <t>ABS:V4.2.10|ABS_MEX:V5.0.4|MTP:V11.0.2|FLUOR:V5.0.8|FLUOR_BOTTOM:V5.0.2|FLUOR_MEM:V5.0.4|FLUOR_MEX:V5.0.4</t>
  </si>
  <si>
    <t>Date:</t>
  </si>
  <si>
    <t>2024-06-02</t>
  </si>
  <si>
    <t>Time:</t>
  </si>
  <si>
    <t>12:45 AM</t>
  </si>
  <si>
    <t>System</t>
  </si>
  <si>
    <t>BIOCWK-01000W</t>
  </si>
  <si>
    <t>User</t>
  </si>
  <si>
    <t>BIOCWK-01000W\RV_Lab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</si>
  <si>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</si>
  <si>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</si>
  <si>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</si>
  <si>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</si>
  <si>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</si>
  <si>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</si>
  <si>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</si>
  <si>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</si>
  <si>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</si>
  <si>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</si>
  <si>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</si>
  <si>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</si>
  <si>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</si>
  <si>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</si>
  <si>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</si>
  <si>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B2-G11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</si>
  <si>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</si>
  <si>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</si>
  <si>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</si>
  <si>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</si>
  <si>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</si>
  <si>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</si>
  <si>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</si>
  <si>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</si>
  <si>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2024-06-02 00:44:48</t>
  </si>
  <si>
    <t>Temperature</t>
  </si>
  <si>
    <t>°C</t>
  </si>
  <si>
    <t>&lt;&gt;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</si>
  <si>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</si>
  <si>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</si>
  <si>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</si>
  <si>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</si>
  <si>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</si>
  <si>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</si>
  <si>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</si>
  <si>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</si>
  <si>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</si>
  <si>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</si>
  <si>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B</t>
  </si>
  <si>
    <t>C</t>
  </si>
  <si>
    <t>D</t>
  </si>
  <si>
    <t>E</t>
  </si>
  <si>
    <t>F</t>
  </si>
  <si>
    <t>G</t>
  </si>
  <si>
    <t>End Time</t>
  </si>
  <si>
    <t>Read_On_June_2_2024</t>
  </si>
  <si>
    <t>Des_1-10</t>
  </si>
  <si>
    <t>Nat_1-10</t>
  </si>
  <si>
    <t>Mixed_Control Row</t>
  </si>
  <si>
    <t>wta-r1</t>
  </si>
  <si>
    <t>wta-r2</t>
  </si>
  <si>
    <t>wtb-r1</t>
  </si>
  <si>
    <t>wtb-r2</t>
  </si>
  <si>
    <t>neglysate_r1</t>
  </si>
  <si>
    <t>neglysate_r2</t>
  </si>
  <si>
    <t>buffer_only1</t>
  </si>
  <si>
    <t>buffer_only_2</t>
  </si>
  <si>
    <t>Abs405_nm</t>
  </si>
  <si>
    <t>50uL_Lysate_in_200uL_Reaction</t>
  </si>
  <si>
    <t>20_minute reaction time</t>
  </si>
  <si>
    <t>Sol_Enz_Cont_r1</t>
  </si>
  <si>
    <t>Sol_Ezn_Cont_r2</t>
  </si>
  <si>
    <t>Mean for Duplicates</t>
  </si>
  <si>
    <t>StDev for Duplicates</t>
  </si>
  <si>
    <t>Buffer_Only</t>
  </si>
  <si>
    <t>wtA_Rep1</t>
  </si>
  <si>
    <t>wtA_Rep2</t>
  </si>
  <si>
    <t>wtB_Rep1</t>
  </si>
  <si>
    <t>wtB_Rep2</t>
  </si>
  <si>
    <t>ngLysate_R1</t>
  </si>
  <si>
    <t>ngLysate_R2</t>
  </si>
  <si>
    <t>nat1</t>
  </si>
  <si>
    <t>nat2</t>
  </si>
  <si>
    <t>nat3</t>
  </si>
  <si>
    <t>nat4</t>
  </si>
  <si>
    <t>nat5</t>
  </si>
  <si>
    <t>nat6</t>
  </si>
  <si>
    <t>nat7</t>
  </si>
  <si>
    <t>nat8</t>
  </si>
  <si>
    <t>nat9</t>
  </si>
  <si>
    <t>nat10</t>
  </si>
  <si>
    <t>Nat61</t>
  </si>
  <si>
    <t>Nat62</t>
  </si>
  <si>
    <t>Nat63</t>
  </si>
  <si>
    <t>Nat64</t>
  </si>
  <si>
    <t>Nat65</t>
  </si>
  <si>
    <t>Nat66</t>
  </si>
  <si>
    <t>Nat67</t>
  </si>
  <si>
    <t>Nat68</t>
  </si>
  <si>
    <t>Nat69</t>
  </si>
  <si>
    <t>Nat70</t>
  </si>
  <si>
    <t>Nat71</t>
  </si>
  <si>
    <t>Nat72</t>
  </si>
  <si>
    <t>Nat73</t>
  </si>
  <si>
    <t>Nat74</t>
  </si>
  <si>
    <t>Nat75</t>
  </si>
  <si>
    <t>Nat76</t>
  </si>
  <si>
    <t>Nat77</t>
  </si>
  <si>
    <t>Nat78</t>
  </si>
  <si>
    <t>Nat79</t>
  </si>
  <si>
    <t>Nat80</t>
  </si>
  <si>
    <t>Nat81</t>
  </si>
  <si>
    <t>Nat82</t>
  </si>
  <si>
    <t>Nat93</t>
  </si>
  <si>
    <t>Nat94</t>
  </si>
  <si>
    <t>Nat95</t>
  </si>
  <si>
    <t>Nat96</t>
  </si>
  <si>
    <t>Nat97</t>
  </si>
  <si>
    <t>Nat98</t>
  </si>
  <si>
    <t>Nat99</t>
  </si>
  <si>
    <t>Nat100</t>
  </si>
  <si>
    <t>Ng_R1</t>
  </si>
  <si>
    <t>Ng_R2</t>
  </si>
  <si>
    <t>IdA_R1</t>
  </si>
  <si>
    <t>IdA_R2</t>
  </si>
  <si>
    <t>IdB_R1</t>
  </si>
  <si>
    <t>IdB_R2</t>
  </si>
  <si>
    <t>IdA1</t>
  </si>
  <si>
    <t>IdA2</t>
  </si>
  <si>
    <t>IdB1</t>
  </si>
  <si>
    <t>Ng1</t>
  </si>
  <si>
    <t>Ng2</t>
  </si>
  <si>
    <t>Bffr</t>
  </si>
  <si>
    <t>IdB2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</si>
</sst>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660066"/>
      <color rgb="FF0000FF"/>
      <color rgb="FF000000"/>
      <color rgb="FFCC00CC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72265966754154E-2"/>
          <c:y val="3.9951035532323168E-2"/>
          <c:w val="0.91938084049288826"/>
          <c:h val="0.862601733606828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EA-49A6-9359-AE4701A2E1DF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EA-49A6-9359-AE4701A2E1DF}"/>
              </c:ext>
            </c:extLst>
          </c:dPt>
          <c:dPt>
            <c:idx val="1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EA-49A6-9359-AE4701A2E1DF}"/>
              </c:ext>
            </c:extLst>
          </c:dPt>
          <c:dPt>
            <c:idx val="1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EA-49A6-9359-AE4701A2E1DF}"/>
              </c:ext>
            </c:extLst>
          </c:dPt>
          <c:dPt>
            <c:idx val="1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EA-49A6-9359-AE4701A2E1DF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BEA-49A6-9359-AE4701A2E1DF}"/>
              </c:ext>
            </c:extLst>
          </c:dPt>
          <c:dPt>
            <c:idx val="1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EA-49A6-9359-AE4701A2E1DF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BEA-49A6-9359-AE4701A2E1DF}"/>
              </c:ext>
            </c:extLst>
          </c:dPt>
          <c:dPt>
            <c:idx val="1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EA-49A6-9359-AE4701A2E1DF}"/>
              </c:ext>
            </c:extLst>
          </c:dPt>
          <c:dPt>
            <c:idx val="1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BEA-49A6-9359-AE4701A2E1DF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EA-49A6-9359-AE4701A2E1DF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BEA-49A6-9359-AE4701A2E1DF}"/>
              </c:ext>
            </c:extLst>
          </c:dPt>
          <c:dPt>
            <c:idx val="2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BEA-49A6-9359-AE4701A2E1DF}"/>
              </c:ext>
            </c:extLst>
          </c:dPt>
          <c:dPt>
            <c:idx val="2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BEA-49A6-9359-AE4701A2E1DF}"/>
              </c:ext>
            </c:extLst>
          </c:dPt>
          <c:dPt>
            <c:idx val="2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BEA-49A6-9359-AE4701A2E1DF}"/>
              </c:ext>
            </c:extLst>
          </c:dPt>
          <c:dPt>
            <c:idx val="2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BEA-49A6-9359-AE4701A2E1DF}"/>
              </c:ext>
            </c:extLst>
          </c:dPt>
          <c:dPt>
            <c:idx val="2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BEA-49A6-9359-AE4701A2E1DF}"/>
              </c:ext>
            </c:extLst>
          </c:dPt>
          <c:dPt>
            <c:idx val="50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D7EF-4FCF-83D2-EFF22FD6A51B}"/>
              </c:ext>
            </c:extLst>
          </c:dPt>
          <c:dPt>
            <c:idx val="51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7EF-4FCF-83D2-EFF22FD6A51B}"/>
              </c:ext>
            </c:extLst>
          </c:dPt>
          <c:dPt>
            <c:idx val="52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D7EF-4FCF-83D2-EFF22FD6A51B}"/>
              </c:ext>
            </c:extLst>
          </c:dPt>
          <c:dPt>
            <c:idx val="53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7EF-4FCF-83D2-EFF22FD6A51B}"/>
              </c:ext>
            </c:extLst>
          </c:dPt>
          <c:dPt>
            <c:idx val="54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D7EF-4FCF-83D2-EFF22FD6A51B}"/>
              </c:ext>
            </c:extLst>
          </c:dPt>
          <c:dPt>
            <c:idx val="55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7EF-4FCF-83D2-EFF22FD6A51B}"/>
              </c:ext>
            </c:extLst>
          </c:dPt>
          <c:dPt>
            <c:idx val="56"/>
            <c:invertIfNegative val="0"/>
            <c:bubble3D val="0"/>
            <c:spPr>
              <a:solidFill>
                <a:srgbClr val="66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7EF-4FCF-83D2-EFF22FD6A51B}"/>
              </c:ext>
            </c:extLst>
          </c:dPt>
          <c:errBars>
            <c:errBarType val="both"/>
            <c:errValType val="cust"/>
            <c:noEndCap val="0"/>
            <c:plus>
              <c:numRef>
                <c:f>'Abs_405_June_2_Raw_Data_&amp;_Plot'!$N$45:$BR$45</c:f>
                <c:numCache>
                  <c:formatCode>General</c:formatCode>
                  <c:ptCount val="57"/>
                  <c:pt idx="0">
                    <c:v>2.2344574285494877E-2</c:v>
                  </c:pt>
                  <c:pt idx="1">
                    <c:v>3.2880465325174447E-2</c:v>
                  </c:pt>
                  <c:pt idx="2">
                    <c:v>2.3546655813512028E-2</c:v>
                  </c:pt>
                  <c:pt idx="3">
                    <c:v>4.7376154339498724E-2</c:v>
                  </c:pt>
                  <c:pt idx="4">
                    <c:v>9.0509667991878165E-2</c:v>
                  </c:pt>
                  <c:pt idx="5">
                    <c:v>1.5485638507985374E-2</c:v>
                  </c:pt>
                  <c:pt idx="6">
                    <c:v>1.2798632739476514E-2</c:v>
                  </c:pt>
                  <c:pt idx="7">
                    <c:v>2.3405234457274698E-2</c:v>
                  </c:pt>
                  <c:pt idx="8">
                    <c:v>7.5024029483892751E-2</c:v>
                  </c:pt>
                  <c:pt idx="9">
                    <c:v>0.14778531726798819</c:v>
                  </c:pt>
                  <c:pt idx="10">
                    <c:v>0.13145115062257887</c:v>
                  </c:pt>
                  <c:pt idx="11">
                    <c:v>0.10755094141847348</c:v>
                  </c:pt>
                  <c:pt idx="12">
                    <c:v>2.9203510063004416E-2</c:v>
                  </c:pt>
                  <c:pt idx="13">
                    <c:v>0.24359828611876441</c:v>
                  </c:pt>
                  <c:pt idx="14">
                    <c:v>2.3263813101037402E-2</c:v>
                  </c:pt>
                  <c:pt idx="15">
                    <c:v>6.3498188950551732E-2</c:v>
                  </c:pt>
                  <c:pt idx="16">
                    <c:v>4.2072853480599616E-2</c:v>
                  </c:pt>
                  <c:pt idx="17">
                    <c:v>5.6497831816805129E-2</c:v>
                  </c:pt>
                  <c:pt idx="18">
                    <c:v>4.8578235867515765E-2</c:v>
                  </c:pt>
                  <c:pt idx="19">
                    <c:v>3.181980515339463E-2</c:v>
                  </c:pt>
                  <c:pt idx="20">
                    <c:v>5.0840977567313546E-2</c:v>
                  </c:pt>
                  <c:pt idx="21">
                    <c:v>5.946768029778865E-2</c:v>
                  </c:pt>
                  <c:pt idx="22">
                    <c:v>4.9356053326821032E-2</c:v>
                  </c:pt>
                  <c:pt idx="23">
                    <c:v>3.9315137033972068E-2</c:v>
                  </c:pt>
                  <c:pt idx="24">
                    <c:v>0.65704362107853864</c:v>
                  </c:pt>
                  <c:pt idx="25">
                    <c:v>0.13222896808188486</c:v>
                  </c:pt>
                  <c:pt idx="26">
                    <c:v>9.0509667991878328E-3</c:v>
                  </c:pt>
                  <c:pt idx="27">
                    <c:v>4.6032651455244274E-2</c:v>
                  </c:pt>
                  <c:pt idx="28">
                    <c:v>0.10776307345282991</c:v>
                  </c:pt>
                  <c:pt idx="29">
                    <c:v>1.0465180361560928E-2</c:v>
                  </c:pt>
                  <c:pt idx="30">
                    <c:v>0.04</c:v>
                  </c:pt>
                  <c:pt idx="31">
                    <c:v>0.02</c:v>
                  </c:pt>
                  <c:pt idx="32">
                    <c:v>0.13</c:v>
                  </c:pt>
                  <c:pt idx="33">
                    <c:v>0.02</c:v>
                  </c:pt>
                  <c:pt idx="34">
                    <c:v>0.01</c:v>
                  </c:pt>
                  <c:pt idx="35">
                    <c:v>0.06</c:v>
                  </c:pt>
                  <c:pt idx="36">
                    <c:v>0.03</c:v>
                  </c:pt>
                  <c:pt idx="37">
                    <c:v>0.4</c:v>
                  </c:pt>
                  <c:pt idx="38">
                    <c:v>0.1</c:v>
                  </c:pt>
                  <c:pt idx="39">
                    <c:v>0.06</c:v>
                  </c:pt>
                  <c:pt idx="40">
                    <c:v>0.05</c:v>
                  </c:pt>
                  <c:pt idx="41">
                    <c:v>0.04</c:v>
                  </c:pt>
                  <c:pt idx="42">
                    <c:v>0.01</c:v>
                  </c:pt>
                  <c:pt idx="43">
                    <c:v>0.02</c:v>
                  </c:pt>
                  <c:pt idx="44">
                    <c:v>0.01</c:v>
                  </c:pt>
                  <c:pt idx="45">
                    <c:v>0.01</c:v>
                  </c:pt>
                  <c:pt idx="46">
                    <c:v>0.27</c:v>
                  </c:pt>
                  <c:pt idx="47">
                    <c:v>0</c:v>
                  </c:pt>
                  <c:pt idx="48">
                    <c:v>0.01</c:v>
                  </c:pt>
                  <c:pt idx="49">
                    <c:v>0</c:v>
                  </c:pt>
                  <c:pt idx="50">
                    <c:v>2.2485995641732093E-2</c:v>
                  </c:pt>
                  <c:pt idx="51">
                    <c:v>4.6669047558312179E-2</c:v>
                  </c:pt>
                  <c:pt idx="52">
                    <c:v>7.7569613896164361E-2</c:v>
                  </c:pt>
                  <c:pt idx="53">
                    <c:v>9.8358553263048765E-2</c:v>
                  </c:pt>
                  <c:pt idx="54">
                    <c:v>5.9396969619669735E-3</c:v>
                  </c:pt>
                  <c:pt idx="55">
                    <c:v>1.4142135623730963E-3</c:v>
                  </c:pt>
                  <c:pt idx="56">
                    <c:v>1.378858223313767E-2</c:v>
                  </c:pt>
                </c:numCache>
              </c:numRef>
            </c:plus>
            <c:minus>
              <c:numRef>
                <c:f>'Abs_405_June_2_Raw_Data_&amp;_Plot'!$N$45:$BR$45</c:f>
                <c:numCache>
                  <c:formatCode>General</c:formatCode>
                  <c:ptCount val="57"/>
                  <c:pt idx="0">
                    <c:v>2.2344574285494877E-2</c:v>
                  </c:pt>
                  <c:pt idx="1">
                    <c:v>3.2880465325174447E-2</c:v>
                  </c:pt>
                  <c:pt idx="2">
                    <c:v>2.3546655813512028E-2</c:v>
                  </c:pt>
                  <c:pt idx="3">
                    <c:v>4.7376154339498724E-2</c:v>
                  </c:pt>
                  <c:pt idx="4">
                    <c:v>9.0509667991878165E-2</c:v>
                  </c:pt>
                  <c:pt idx="5">
                    <c:v>1.5485638507985374E-2</c:v>
                  </c:pt>
                  <c:pt idx="6">
                    <c:v>1.2798632739476514E-2</c:v>
                  </c:pt>
                  <c:pt idx="7">
                    <c:v>2.3405234457274698E-2</c:v>
                  </c:pt>
                  <c:pt idx="8">
                    <c:v>7.5024029483892751E-2</c:v>
                  </c:pt>
                  <c:pt idx="9">
                    <c:v>0.14778531726798819</c:v>
                  </c:pt>
                  <c:pt idx="10">
                    <c:v>0.13145115062257887</c:v>
                  </c:pt>
                  <c:pt idx="11">
                    <c:v>0.10755094141847348</c:v>
                  </c:pt>
                  <c:pt idx="12">
                    <c:v>2.9203510063004416E-2</c:v>
                  </c:pt>
                  <c:pt idx="13">
                    <c:v>0.24359828611876441</c:v>
                  </c:pt>
                  <c:pt idx="14">
                    <c:v>2.3263813101037402E-2</c:v>
                  </c:pt>
                  <c:pt idx="15">
                    <c:v>6.3498188950551732E-2</c:v>
                  </c:pt>
                  <c:pt idx="16">
                    <c:v>4.2072853480599616E-2</c:v>
                  </c:pt>
                  <c:pt idx="17">
                    <c:v>5.6497831816805129E-2</c:v>
                  </c:pt>
                  <c:pt idx="18">
                    <c:v>4.8578235867515765E-2</c:v>
                  </c:pt>
                  <c:pt idx="19">
                    <c:v>3.181980515339463E-2</c:v>
                  </c:pt>
                  <c:pt idx="20">
                    <c:v>5.0840977567313546E-2</c:v>
                  </c:pt>
                  <c:pt idx="21">
                    <c:v>5.946768029778865E-2</c:v>
                  </c:pt>
                  <c:pt idx="22">
                    <c:v>4.9356053326821032E-2</c:v>
                  </c:pt>
                  <c:pt idx="23">
                    <c:v>3.9315137033972068E-2</c:v>
                  </c:pt>
                  <c:pt idx="24">
                    <c:v>0.65704362107853864</c:v>
                  </c:pt>
                  <c:pt idx="25">
                    <c:v>0.13222896808188486</c:v>
                  </c:pt>
                  <c:pt idx="26">
                    <c:v>9.0509667991878328E-3</c:v>
                  </c:pt>
                  <c:pt idx="27">
                    <c:v>4.6032651455244274E-2</c:v>
                  </c:pt>
                  <c:pt idx="28">
                    <c:v>0.10776307345282991</c:v>
                  </c:pt>
                  <c:pt idx="29">
                    <c:v>1.0465180361560928E-2</c:v>
                  </c:pt>
                  <c:pt idx="30">
                    <c:v>0.04</c:v>
                  </c:pt>
                  <c:pt idx="31">
                    <c:v>0.02</c:v>
                  </c:pt>
                  <c:pt idx="32">
                    <c:v>0.13</c:v>
                  </c:pt>
                  <c:pt idx="33">
                    <c:v>0.02</c:v>
                  </c:pt>
                  <c:pt idx="34">
                    <c:v>0.01</c:v>
                  </c:pt>
                  <c:pt idx="35">
                    <c:v>0.06</c:v>
                  </c:pt>
                  <c:pt idx="36">
                    <c:v>0.03</c:v>
                  </c:pt>
                  <c:pt idx="37">
                    <c:v>0.4</c:v>
                  </c:pt>
                  <c:pt idx="38">
                    <c:v>0.1</c:v>
                  </c:pt>
                  <c:pt idx="39">
                    <c:v>0.06</c:v>
                  </c:pt>
                  <c:pt idx="40">
                    <c:v>0.05</c:v>
                  </c:pt>
                  <c:pt idx="41">
                    <c:v>0.04</c:v>
                  </c:pt>
                  <c:pt idx="42">
                    <c:v>0.01</c:v>
                  </c:pt>
                  <c:pt idx="43">
                    <c:v>0.02</c:v>
                  </c:pt>
                  <c:pt idx="44">
                    <c:v>0.01</c:v>
                  </c:pt>
                  <c:pt idx="45">
                    <c:v>0.01</c:v>
                  </c:pt>
                  <c:pt idx="46">
                    <c:v>0.27</c:v>
                  </c:pt>
                  <c:pt idx="47">
                    <c:v>0</c:v>
                  </c:pt>
                  <c:pt idx="48">
                    <c:v>0.01</c:v>
                  </c:pt>
                  <c:pt idx="49">
                    <c:v>0</c:v>
                  </c:pt>
                  <c:pt idx="50">
                    <c:v>2.2485995641732093E-2</c:v>
                  </c:pt>
                  <c:pt idx="51">
                    <c:v>4.6669047558312179E-2</c:v>
                  </c:pt>
                  <c:pt idx="52">
                    <c:v>7.7569613896164361E-2</c:v>
                  </c:pt>
                  <c:pt idx="53">
                    <c:v>9.8358553263048765E-2</c:v>
                  </c:pt>
                  <c:pt idx="54">
                    <c:v>5.9396969619669735E-3</c:v>
                  </c:pt>
                  <c:pt idx="55">
                    <c:v>1.4142135623730963E-3</c:v>
                  </c:pt>
                  <c:pt idx="56">
                    <c:v>1.378858223313767E-2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0000">
                    <a:alpha val="97000"/>
                  </a:srgbClr>
                </a:solidFill>
                <a:round/>
              </a:ln>
              <a:effectLst/>
            </c:spPr>
          </c:errBars>
          <c:cat>
            <c:strRef>
              <c:f>'Abs_405_June_2_Raw_Data_&amp;_Plot'!$N$43:$BR$43</c:f>
              <c:strCach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61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  <c:pt idx="25">
                  <c:v>76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80</c:v>
                </c:pt>
                <c:pt idx="30">
                  <c:v>81</c:v>
                </c:pt>
                <c:pt idx="31">
                  <c:v>82</c:v>
                </c:pt>
                <c:pt idx="32">
                  <c:v>83</c:v>
                </c:pt>
                <c:pt idx="33">
                  <c:v>84</c:v>
                </c:pt>
                <c:pt idx="34">
                  <c:v>85</c:v>
                </c:pt>
                <c:pt idx="35">
                  <c:v>86</c:v>
                </c:pt>
                <c:pt idx="36">
                  <c:v>87</c:v>
                </c:pt>
                <c:pt idx="37">
                  <c:v>88</c:v>
                </c:pt>
                <c:pt idx="38">
                  <c:v>89</c:v>
                </c:pt>
                <c:pt idx="39">
                  <c:v>90</c:v>
                </c:pt>
                <c:pt idx="40">
                  <c:v>91</c:v>
                </c:pt>
                <c:pt idx="41">
                  <c:v>92</c:v>
                </c:pt>
                <c:pt idx="42">
                  <c:v>93</c:v>
                </c:pt>
                <c:pt idx="43">
                  <c:v>94</c:v>
                </c:pt>
                <c:pt idx="44">
                  <c:v>95</c:v>
                </c:pt>
                <c:pt idx="45">
                  <c:v>96</c:v>
                </c:pt>
                <c:pt idx="46">
                  <c:v>97</c:v>
                </c:pt>
                <c:pt idx="47">
                  <c:v>98</c:v>
                </c:pt>
                <c:pt idx="48">
                  <c:v>99</c:v>
                </c:pt>
                <c:pt idx="49">
                  <c:v>100</c:v>
                </c:pt>
                <c:pt idx="50">
                  <c:v>IdA1</c:v>
                </c:pt>
                <c:pt idx="51">
                  <c:v>IdA2</c:v>
                </c:pt>
                <c:pt idx="52">
                  <c:v>IdB1</c:v>
                </c:pt>
                <c:pt idx="53">
                  <c:v>IdB2</c:v>
                </c:pt>
                <c:pt idx="54">
                  <c:v>Ng1</c:v>
                </c:pt>
                <c:pt idx="55">
                  <c:v>Ng2</c:v>
                </c:pt>
                <c:pt idx="56">
                  <c:v>Bffr</c:v>
                </c:pt>
              </c:strCache>
            </c:strRef>
          </c:cat>
          <c:val>
            <c:numRef>
              <c:f>'Abs_405_June_2_Raw_Data_&amp;_Plot'!$N$44:$BR$44</c:f>
              <c:numCache>
                <c:formatCode>0.00</c:formatCode>
                <c:ptCount val="57"/>
                <c:pt idx="0">
                  <c:v>0.67080000000000006</c:v>
                </c:pt>
                <c:pt idx="1">
                  <c:v>0.55235000000000001</c:v>
                </c:pt>
                <c:pt idx="2">
                  <c:v>0.52065000000000006</c:v>
                </c:pt>
                <c:pt idx="3">
                  <c:v>0.64280000000000004</c:v>
                </c:pt>
                <c:pt idx="4">
                  <c:v>1.9377</c:v>
                </c:pt>
                <c:pt idx="5">
                  <c:v>0.38724999999999998</c:v>
                </c:pt>
                <c:pt idx="6">
                  <c:v>0.44995000000000002</c:v>
                </c:pt>
                <c:pt idx="7">
                  <c:v>0.42615000000000003</c:v>
                </c:pt>
                <c:pt idx="8">
                  <c:v>0.57655000000000001</c:v>
                </c:pt>
                <c:pt idx="9">
                  <c:v>0.96189999999999998</c:v>
                </c:pt>
                <c:pt idx="10">
                  <c:v>0.52775000000000005</c:v>
                </c:pt>
                <c:pt idx="11">
                  <c:v>0.47855000000000003</c:v>
                </c:pt>
                <c:pt idx="12">
                  <c:v>0.39674999999999999</c:v>
                </c:pt>
                <c:pt idx="13">
                  <c:v>1.41635</c:v>
                </c:pt>
                <c:pt idx="14">
                  <c:v>0.30074999999999996</c:v>
                </c:pt>
                <c:pt idx="15">
                  <c:v>0.442</c:v>
                </c:pt>
                <c:pt idx="16">
                  <c:v>0.42615000000000003</c:v>
                </c:pt>
                <c:pt idx="17">
                  <c:v>0.39155000000000001</c:v>
                </c:pt>
                <c:pt idx="18">
                  <c:v>0.50234999999999996</c:v>
                </c:pt>
                <c:pt idx="19">
                  <c:v>0.35599999999999998</c:v>
                </c:pt>
                <c:pt idx="20">
                  <c:v>0.35014999999999996</c:v>
                </c:pt>
                <c:pt idx="21">
                  <c:v>0.45045000000000002</c:v>
                </c:pt>
                <c:pt idx="22">
                  <c:v>0.45499999999999996</c:v>
                </c:pt>
                <c:pt idx="23">
                  <c:v>0.35150000000000003</c:v>
                </c:pt>
                <c:pt idx="24">
                  <c:v>2.2242000000000002</c:v>
                </c:pt>
                <c:pt idx="25">
                  <c:v>0.58989999999999998</c:v>
                </c:pt>
                <c:pt idx="26">
                  <c:v>0.56570000000000009</c:v>
                </c:pt>
                <c:pt idx="27">
                  <c:v>0.59014999999999995</c:v>
                </c:pt>
                <c:pt idx="28">
                  <c:v>2.3010999999999999</c:v>
                </c:pt>
                <c:pt idx="29">
                  <c:v>0.4894</c:v>
                </c:pt>
                <c:pt idx="30">
                  <c:v>0.6</c:v>
                </c:pt>
                <c:pt idx="31">
                  <c:v>0.44</c:v>
                </c:pt>
                <c:pt idx="32">
                  <c:v>2.2400000000000002</c:v>
                </c:pt>
                <c:pt idx="33">
                  <c:v>0.45</c:v>
                </c:pt>
                <c:pt idx="34">
                  <c:v>0.56000000000000005</c:v>
                </c:pt>
                <c:pt idx="35">
                  <c:v>0.34</c:v>
                </c:pt>
                <c:pt idx="36">
                  <c:v>0.47</c:v>
                </c:pt>
                <c:pt idx="37">
                  <c:v>2.71</c:v>
                </c:pt>
                <c:pt idx="38">
                  <c:v>0.57999999999999996</c:v>
                </c:pt>
                <c:pt idx="39">
                  <c:v>0.46</c:v>
                </c:pt>
                <c:pt idx="40">
                  <c:v>0.49</c:v>
                </c:pt>
                <c:pt idx="41">
                  <c:v>0.53</c:v>
                </c:pt>
                <c:pt idx="42">
                  <c:v>0.59</c:v>
                </c:pt>
                <c:pt idx="43">
                  <c:v>0.96</c:v>
                </c:pt>
                <c:pt idx="44">
                  <c:v>0.5</c:v>
                </c:pt>
                <c:pt idx="45">
                  <c:v>0.41</c:v>
                </c:pt>
                <c:pt idx="46">
                  <c:v>2.54</c:v>
                </c:pt>
                <c:pt idx="47">
                  <c:v>0.57999999999999996</c:v>
                </c:pt>
                <c:pt idx="48">
                  <c:v>0.53</c:v>
                </c:pt>
                <c:pt idx="49">
                  <c:v>0.45</c:v>
                </c:pt>
                <c:pt idx="50">
                  <c:v>1.3818999999999999</c:v>
                </c:pt>
                <c:pt idx="51">
                  <c:v>1.3557999999999999</c:v>
                </c:pt>
                <c:pt idx="52">
                  <c:v>1.40195</c:v>
                </c:pt>
                <c:pt idx="53">
                  <c:v>1.39985</c:v>
                </c:pt>
                <c:pt idx="54">
                  <c:v>0.39360000000000001</c:v>
                </c:pt>
                <c:pt idx="55">
                  <c:v>0.36930000000000002</c:v>
                </c:pt>
                <c:pt idx="56">
                  <c:v>0.20405000000000001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A-49A6-9359-AE4701A2E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838768"/>
        <c:axId val="491843808"/>
      </c:barChart>
      <c:catAx>
        <c:axId val="49183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1843808"/>
        <c:crosses val="autoZero"/>
        <c:auto val="1"/>
        <c:lblAlgn val="ctr"/>
        <c:lblOffset val="100"/>
        <c:noMultiLvlLbl val="0"/>
      </c:catAx>
      <c:valAx>
        <c:axId val="491843808"/>
        <c:scaling>
          <c:orientation val="minMax"/>
          <c:max val="3.25"/>
          <c:min val="0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 w="19050">
            <a:solidFill>
              <a:srgbClr val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1838768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523875</xdr:colOff>
      <xdr:row>46</xdr:row>
      <xdr:rowOff>95250</xdr:rowOff>
    </xdr:from>
    <xdr:to>
      <xdr:col>38</xdr:col>
      <xdr:colOff>352425</xdr:colOff>
      <xdr:row>70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E8744-E57F-1DE5-0944-337B64B0E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57"/>
  <sheetViews>
    <sheetView tabSelected="1" topLeftCell="V37" zoomScaleNormal="100" workbookViewId="0">
      <selection activeCell="BO44" sqref="BO44"/>
    </sheetView>
  </sheetViews>
  <sheetFormatPr defaultRowHeight="15"/>
  <cols>
    <col min="2" max="4" width="11.5703125" bestFit="1" customWidth="1"/>
    <col min="5" max="5" width="13.85546875" customWidth="1"/>
    <col min="6" max="6" width="15.85546875" customWidth="1"/>
    <col min="7" max="7" width="15.42578125" customWidth="1"/>
    <col min="8" max="8" width="19.5703125" customWidth="1"/>
    <col min="9" max="9" width="14.140625" customWidth="1"/>
    <col min="10" max="10" width="12.5703125" customWidth="1"/>
    <col min="11" max="11" width="13.7109375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405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65.8</v>
      </c>
      <c r="F31" s="1" t="s">
        <v>42</v>
      </c>
      <c r="G31" s="1"/>
      <c r="H31" s="1"/>
      <c r="I31" s="1" t="s">
        <v>75</v>
      </c>
      <c r="J31" s="1"/>
      <c r="K31" s="1"/>
    </row>
    <row r="32" spans="1:11">
      <c r="A32" s="1"/>
      <c r="B32" s="1" t="s">
        <v>61</v>
      </c>
      <c r="C32" s="1"/>
      <c r="D32" s="1"/>
      <c r="E32" s="1"/>
      <c r="F32" s="1" t="s">
        <v>73</v>
      </c>
      <c r="G32" s="1"/>
      <c r="H32" s="1" t="s">
        <v>74</v>
      </c>
      <c r="I32" s="1"/>
      <c r="J32" s="1"/>
      <c r="K32" s="1"/>
    </row>
    <row r="33" spans="1:9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</row>
    <row r="34" spans="1:93">
      <c r="A34" s="3" t="s">
        <v>54</v>
      </c>
      <c r="B34" s="1">
        <v>0.44800000000000001</v>
      </c>
      <c r="C34" s="1">
        <v>0.59019999999999995</v>
      </c>
      <c r="D34" s="1">
        <v>0.61319999999999997</v>
      </c>
      <c r="E34" s="1">
        <v>0.42280000000000001</v>
      </c>
      <c r="F34" s="1">
        <v>0.45090000000000002</v>
      </c>
      <c r="G34" s="1">
        <v>0.59630000000000005</v>
      </c>
      <c r="H34" s="1">
        <v>0.68759999999999999</v>
      </c>
      <c r="I34" s="1">
        <v>1.4858</v>
      </c>
      <c r="J34" s="1">
        <v>1.6943999999999999</v>
      </c>
      <c r="K34" s="1">
        <v>0.49990000000000001</v>
      </c>
      <c r="L34" t="s">
        <v>62</v>
      </c>
    </row>
    <row r="35" spans="1:93">
      <c r="A35" s="3" t="s">
        <v>55</v>
      </c>
      <c r="B35" s="1">
        <v>0.68659999999999999</v>
      </c>
      <c r="C35" s="1">
        <v>0.52910000000000001</v>
      </c>
      <c r="D35" s="1">
        <v>0.5373</v>
      </c>
      <c r="E35" s="1">
        <v>0.67630000000000001</v>
      </c>
      <c r="F35" s="1">
        <v>2.0017</v>
      </c>
      <c r="G35" s="1">
        <v>0.37630000000000002</v>
      </c>
      <c r="H35" s="1">
        <v>0.44090000000000001</v>
      </c>
      <c r="I35" s="1">
        <v>0.40960000000000002</v>
      </c>
      <c r="J35" s="1">
        <v>0.52349999999999997</v>
      </c>
      <c r="K35" s="1">
        <v>0.85740000000000005</v>
      </c>
      <c r="L35" t="s">
        <v>63</v>
      </c>
    </row>
    <row r="36" spans="1:93">
      <c r="A36" s="3" t="s">
        <v>56</v>
      </c>
      <c r="B36" s="1">
        <v>1.3660000000000001</v>
      </c>
      <c r="C36" s="1">
        <v>1.3888</v>
      </c>
      <c r="D36" s="1">
        <v>1.4568000000000001</v>
      </c>
      <c r="E36" s="1">
        <v>1.4694</v>
      </c>
      <c r="F36" s="1">
        <v>0.39779999999999999</v>
      </c>
      <c r="G36" s="1">
        <v>0.36830000000000002</v>
      </c>
      <c r="H36" s="1">
        <v>1.5502</v>
      </c>
      <c r="I36" s="1">
        <v>1.7281</v>
      </c>
      <c r="J36" s="1">
        <v>0.1943</v>
      </c>
      <c r="K36" s="1">
        <v>0.19220000000000001</v>
      </c>
      <c r="L36" t="s">
        <v>64</v>
      </c>
    </row>
    <row r="37" spans="1:93">
      <c r="A37" s="3" t="s">
        <v>57</v>
      </c>
      <c r="B37" s="1">
        <v>0.44090000000000001</v>
      </c>
      <c r="C37" s="1">
        <v>0.54159999999999997</v>
      </c>
      <c r="D37" s="1">
        <v>0.64339999999999997</v>
      </c>
      <c r="E37" s="1">
        <v>0.39319999999999999</v>
      </c>
      <c r="F37" s="1">
        <v>0.46949999999999997</v>
      </c>
      <c r="G37" s="1">
        <v>0.56379999999999997</v>
      </c>
      <c r="H37" s="1">
        <v>0.68700000000000006</v>
      </c>
      <c r="I37" s="1">
        <v>1.4331</v>
      </c>
      <c r="J37" s="1">
        <v>1.5316000000000001</v>
      </c>
      <c r="K37" s="1">
        <v>0.47770000000000001</v>
      </c>
      <c r="L37" t="s">
        <v>62</v>
      </c>
    </row>
    <row r="38" spans="1:93">
      <c r="A38" s="3" t="s">
        <v>58</v>
      </c>
      <c r="B38" s="1">
        <v>0.65500000000000003</v>
      </c>
      <c r="C38" s="1">
        <v>0.5756</v>
      </c>
      <c r="D38" s="1">
        <v>0.504</v>
      </c>
      <c r="E38" s="1">
        <v>0.60929999999999995</v>
      </c>
      <c r="F38" s="1">
        <v>1.8736999999999999</v>
      </c>
      <c r="G38" s="1">
        <v>0.3982</v>
      </c>
      <c r="H38" s="1">
        <v>0.45900000000000002</v>
      </c>
      <c r="I38" s="1">
        <v>0.44269999999999998</v>
      </c>
      <c r="J38" s="1">
        <v>0.62960000000000005</v>
      </c>
      <c r="K38" s="1">
        <v>1.0664</v>
      </c>
      <c r="L38" t="s">
        <v>63</v>
      </c>
    </row>
    <row r="39" spans="1:93">
      <c r="A39" s="3" t="s">
        <v>59</v>
      </c>
      <c r="B39" s="1">
        <v>1.3977999999999999</v>
      </c>
      <c r="C39" s="1">
        <v>1.3228</v>
      </c>
      <c r="D39" s="1">
        <v>1.3471</v>
      </c>
      <c r="E39" s="1">
        <v>1.3303</v>
      </c>
      <c r="F39" s="1">
        <v>0.38940000000000002</v>
      </c>
      <c r="G39" s="1">
        <v>0.37030000000000002</v>
      </c>
      <c r="H39" s="1">
        <v>1.6535</v>
      </c>
      <c r="I39" s="1">
        <v>1.9830000000000001</v>
      </c>
      <c r="J39" s="1">
        <v>0.21379999999999999</v>
      </c>
      <c r="K39" s="1">
        <v>0.2263</v>
      </c>
      <c r="L39" t="s">
        <v>64</v>
      </c>
    </row>
    <row r="40" spans="1:93">
      <c r="A40" s="1"/>
      <c r="B40" s="1" t="s">
        <v>65</v>
      </c>
      <c r="C40" s="1" t="s">
        <v>66</v>
      </c>
      <c r="D40" s="1" t="s">
        <v>67</v>
      </c>
      <c r="E40" s="1" t="s">
        <v>68</v>
      </c>
      <c r="F40" s="1" t="s">
        <v>69</v>
      </c>
      <c r="G40" s="1" t="s">
        <v>70</v>
      </c>
      <c r="H40" s="1" t="s">
        <v>76</v>
      </c>
      <c r="I40" s="1" t="s">
        <v>77</v>
      </c>
      <c r="J40" s="1" t="s">
        <v>71</v>
      </c>
      <c r="K40" s="1" t="s">
        <v>72</v>
      </c>
    </row>
    <row r="41" spans="1:9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93">
      <c r="A42" s="1" t="s">
        <v>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BV42">
        <v>111</v>
      </c>
      <c r="BW42">
        <v>112</v>
      </c>
      <c r="BX42">
        <v>113</v>
      </c>
      <c r="BY42">
        <v>114</v>
      </c>
      <c r="BZ42">
        <v>115</v>
      </c>
      <c r="CA42">
        <v>116</v>
      </c>
      <c r="CB42">
        <v>117</v>
      </c>
      <c r="CC42">
        <v>118</v>
      </c>
      <c r="CD42">
        <v>119</v>
      </c>
      <c r="CE42">
        <v>120</v>
      </c>
      <c r="CF42">
        <v>121</v>
      </c>
      <c r="CG42">
        <v>122</v>
      </c>
    </row>
    <row r="43" spans="1:93">
      <c r="A43" s="1"/>
      <c r="B43" s="1" t="s">
        <v>78</v>
      </c>
      <c r="C43" s="1"/>
      <c r="D43" s="1"/>
      <c r="E43" s="1"/>
      <c r="F43" s="1"/>
      <c r="G43" s="1"/>
      <c r="H43" s="1"/>
      <c r="I43" s="1"/>
      <c r="J43" s="1"/>
      <c r="K43" s="1"/>
      <c r="N43">
        <v>1</v>
      </c>
      <c r="O43">
        <v>2</v>
      </c>
      <c r="P43">
        <v>3</v>
      </c>
      <c r="Q43">
        <v>4</v>
      </c>
      <c r="R43">
        <v>5</v>
      </c>
      <c r="S43">
        <v>6</v>
      </c>
      <c r="T43">
        <v>7</v>
      </c>
      <c r="U43">
        <v>8</v>
      </c>
      <c r="V43">
        <v>9</v>
      </c>
      <c r="W43">
        <v>10</v>
      </c>
      <c r="X43">
        <v>61</v>
      </c>
      <c r="Y43">
        <v>62</v>
      </c>
      <c r="Z43">
        <v>63</v>
      </c>
      <c r="AA43">
        <v>64</v>
      </c>
      <c r="AB43">
        <v>65</v>
      </c>
      <c r="AC43">
        <v>66</v>
      </c>
      <c r="AD43">
        <v>67</v>
      </c>
      <c r="AE43">
        <v>68</v>
      </c>
      <c r="AF43">
        <v>69</v>
      </c>
      <c r="AG43">
        <v>70</v>
      </c>
      <c r="AH43">
        <v>71</v>
      </c>
      <c r="AI43">
        <v>72</v>
      </c>
      <c r="AJ43">
        <v>73</v>
      </c>
      <c r="AK43">
        <v>74</v>
      </c>
      <c r="AL43">
        <v>75</v>
      </c>
      <c r="AM43">
        <v>76</v>
      </c>
      <c r="AN43">
        <v>77</v>
      </c>
      <c r="AO43">
        <v>78</v>
      </c>
      <c r="AP43">
        <v>79</v>
      </c>
      <c r="AQ43">
        <v>80</v>
      </c>
      <c r="AR43">
        <v>81</v>
      </c>
      <c r="AS43">
        <v>82</v>
      </c>
      <c r="AT43">
        <v>83</v>
      </c>
      <c r="AU43">
        <v>84</v>
      </c>
      <c r="AV43">
        <v>85</v>
      </c>
      <c r="AW43">
        <v>86</v>
      </c>
      <c r="AX43">
        <v>87</v>
      </c>
      <c r="AY43">
        <v>88</v>
      </c>
      <c r="AZ43">
        <v>89</v>
      </c>
      <c r="BA43">
        <v>90</v>
      </c>
      <c r="BB43">
        <v>91</v>
      </c>
      <c r="BC43">
        <v>92</v>
      </c>
      <c r="BD43">
        <v>93</v>
      </c>
      <c r="BE43">
        <v>94</v>
      </c>
      <c r="BF43">
        <v>95</v>
      </c>
      <c r="BG43">
        <v>96</v>
      </c>
      <c r="BH43">
        <v>97</v>
      </c>
      <c r="BI43">
        <v>98</v>
      </c>
      <c r="BJ43">
        <v>99</v>
      </c>
      <c r="BK43">
        <v>100</v>
      </c>
      <c r="BL43" t="s">
        <v>133</v>
      </c>
      <c r="BM43" t="s">
        <v>134</v>
      </c>
      <c r="BN43" t="s">
        <v>135</v>
      </c>
      <c r="BO43" t="s">
        <v>139</v>
      </c>
      <c r="BP43" t="s">
        <v>136</v>
      </c>
      <c r="BQ43" t="s">
        <v>137</v>
      </c>
      <c r="BR43" t="s">
        <v>138</v>
      </c>
      <c r="BS43" s="6">
        <v>0.20924999999999999</v>
      </c>
      <c r="BV43" t="s">
        <v>119</v>
      </c>
      <c r="BW43" t="s">
        <v>120</v>
      </c>
      <c r="BX43" t="s">
        <v>121</v>
      </c>
      <c r="BY43" t="s">
        <v>122</v>
      </c>
      <c r="BZ43" t="s">
        <v>123</v>
      </c>
      <c r="CA43" t="s">
        <v>124</v>
      </c>
      <c r="CB43" t="s">
        <v>125</v>
      </c>
      <c r="CC43" t="s">
        <v>126</v>
      </c>
      <c r="CD43" t="s">
        <v>121</v>
      </c>
      <c r="CE43" t="s">
        <v>122</v>
      </c>
      <c r="CF43" t="s">
        <v>123</v>
      </c>
      <c r="CG43" t="s">
        <v>124</v>
      </c>
      <c r="CH43" t="s">
        <v>125</v>
      </c>
      <c r="CI43" t="s">
        <v>126</v>
      </c>
      <c r="CJ43" t="s">
        <v>81</v>
      </c>
      <c r="CK43" t="s">
        <v>82</v>
      </c>
      <c r="CL43" t="s">
        <v>83</v>
      </c>
      <c r="CM43" t="s">
        <v>84</v>
      </c>
      <c r="CN43" t="s">
        <v>80</v>
      </c>
    </row>
    <row r="44" spans="1:93">
      <c r="A44" s="1"/>
      <c r="B44" s="5">
        <f>AVERAGE(B34,B37)</f>
        <v>0.44445000000000001</v>
      </c>
      <c r="C44" s="5">
        <f t="shared" ref="C44:K44" si="0">AVERAGE(C34,C37)</f>
        <v>0.56589999999999996</v>
      </c>
      <c r="D44" s="5">
        <f t="shared" si="0"/>
        <v>0.62829999999999997</v>
      </c>
      <c r="E44" s="5">
        <f t="shared" si="0"/>
        <v>0.40800000000000003</v>
      </c>
      <c r="F44" s="5">
        <f t="shared" si="0"/>
        <v>0.4602</v>
      </c>
      <c r="G44" s="5">
        <f t="shared" si="0"/>
        <v>0.58004999999999995</v>
      </c>
      <c r="H44" s="5">
        <f t="shared" si="0"/>
        <v>0.68730000000000002</v>
      </c>
      <c r="I44" s="5">
        <f t="shared" si="0"/>
        <v>1.4594499999999999</v>
      </c>
      <c r="J44" s="5">
        <f t="shared" si="0"/>
        <v>1.613</v>
      </c>
      <c r="K44" s="5">
        <f t="shared" si="0"/>
        <v>0.48880000000000001</v>
      </c>
      <c r="N44" s="6">
        <v>0.67080000000000006</v>
      </c>
      <c r="O44" s="6">
        <v>0.55235000000000001</v>
      </c>
      <c r="P44" s="6">
        <v>0.52065000000000006</v>
      </c>
      <c r="Q44" s="6">
        <v>0.64280000000000004</v>
      </c>
      <c r="R44" s="6">
        <v>1.9377</v>
      </c>
      <c r="S44" s="6">
        <v>0.38724999999999998</v>
      </c>
      <c r="T44" s="6">
        <v>0.44995000000000002</v>
      </c>
      <c r="U44" s="6">
        <v>0.42615000000000003</v>
      </c>
      <c r="V44" s="6">
        <v>0.57655000000000001</v>
      </c>
      <c r="W44" s="6">
        <v>0.96189999999999998</v>
      </c>
      <c r="X44" s="6">
        <v>0.52775000000000005</v>
      </c>
      <c r="Y44" s="6">
        <v>0.47855000000000003</v>
      </c>
      <c r="Z44" s="6">
        <v>0.39674999999999999</v>
      </c>
      <c r="AA44" s="6">
        <v>1.41635</v>
      </c>
      <c r="AB44" s="6">
        <v>0.30074999999999996</v>
      </c>
      <c r="AC44" s="6">
        <v>0.442</v>
      </c>
      <c r="AD44" s="6">
        <v>0.42615000000000003</v>
      </c>
      <c r="AE44" s="6">
        <v>0.39155000000000001</v>
      </c>
      <c r="AF44" s="6">
        <v>0.50234999999999996</v>
      </c>
      <c r="AG44" s="6">
        <v>0.35599999999999998</v>
      </c>
      <c r="AH44" s="6">
        <v>0.35014999999999996</v>
      </c>
      <c r="AI44" s="6">
        <v>0.45045000000000002</v>
      </c>
      <c r="AJ44" s="6">
        <v>0.45499999999999996</v>
      </c>
      <c r="AK44" s="6">
        <v>0.35150000000000003</v>
      </c>
      <c r="AL44" s="6">
        <v>2.2242000000000002</v>
      </c>
      <c r="AM44" s="6">
        <v>0.58989999999999998</v>
      </c>
      <c r="AN44" s="6">
        <v>0.56570000000000009</v>
      </c>
      <c r="AO44" s="6">
        <v>0.59014999999999995</v>
      </c>
      <c r="AP44" s="6">
        <v>2.3010999999999999</v>
      </c>
      <c r="AQ44" s="6">
        <v>0.4894</v>
      </c>
      <c r="AR44" s="6">
        <v>0.6</v>
      </c>
      <c r="AS44" s="6">
        <v>0.44</v>
      </c>
      <c r="AT44" s="6">
        <v>2.2400000000000002</v>
      </c>
      <c r="AU44" s="6">
        <v>0.45</v>
      </c>
      <c r="AV44" s="6">
        <v>0.56000000000000005</v>
      </c>
      <c r="AW44" s="6">
        <v>0.34</v>
      </c>
      <c r="AX44" s="6">
        <v>0.47</v>
      </c>
      <c r="AY44" s="6">
        <v>2.71</v>
      </c>
      <c r="AZ44" s="6">
        <v>0.57999999999999996</v>
      </c>
      <c r="BA44" s="6">
        <v>0.46</v>
      </c>
      <c r="BB44" s="6">
        <v>0.49</v>
      </c>
      <c r="BC44" s="6">
        <v>0.53</v>
      </c>
      <c r="BD44" s="6">
        <v>0.59</v>
      </c>
      <c r="BE44" s="6">
        <v>0.96</v>
      </c>
      <c r="BF44" s="6">
        <v>0.5</v>
      </c>
      <c r="BG44" s="6">
        <v>0.41</v>
      </c>
      <c r="BH44" s="6">
        <v>2.54</v>
      </c>
      <c r="BI44" s="6">
        <v>0.57999999999999996</v>
      </c>
      <c r="BJ44" s="6">
        <v>0.53</v>
      </c>
      <c r="BK44" s="6">
        <v>0.45</v>
      </c>
      <c r="BL44" s="6">
        <v>1.3818999999999999</v>
      </c>
      <c r="BM44" s="6">
        <v>1.3557999999999999</v>
      </c>
      <c r="BN44" s="6">
        <v>1.40195</v>
      </c>
      <c r="BO44" s="6">
        <v>1.39985</v>
      </c>
      <c r="BP44" s="6">
        <v>0.39360000000000001</v>
      </c>
      <c r="BQ44" s="6">
        <v>0.36930000000000002</v>
      </c>
      <c r="BR44" s="6">
        <v>0.20405000000000001</v>
      </c>
      <c r="BS44" s="6">
        <v>2.4112341238461264E-2</v>
      </c>
      <c r="BT44" s="6"/>
      <c r="BU44" s="6"/>
      <c r="BV44" s="6">
        <v>0.59</v>
      </c>
      <c r="BW44" s="6">
        <v>0.96</v>
      </c>
      <c r="BX44" s="6">
        <v>0.5</v>
      </c>
      <c r="BY44" s="6">
        <v>0.41</v>
      </c>
      <c r="BZ44" s="6">
        <v>2.54</v>
      </c>
      <c r="CA44" s="6">
        <v>0.57999999999999996</v>
      </c>
      <c r="CB44" s="6">
        <v>0.53</v>
      </c>
      <c r="CC44" s="6">
        <v>0.45</v>
      </c>
      <c r="CD44" s="6">
        <v>0.5</v>
      </c>
      <c r="CE44" s="6">
        <v>0.41</v>
      </c>
      <c r="CF44" s="6">
        <v>2.54</v>
      </c>
      <c r="CG44" s="6">
        <v>0.57999999999999996</v>
      </c>
      <c r="CH44" s="6">
        <v>0.53</v>
      </c>
      <c r="CI44" s="6">
        <v>0.45</v>
      </c>
      <c r="CJ44" s="6">
        <v>1.51</v>
      </c>
      <c r="CK44" s="6">
        <v>1.49</v>
      </c>
      <c r="CL44" s="6">
        <v>1.38</v>
      </c>
      <c r="CM44" s="6">
        <v>1.43</v>
      </c>
      <c r="CN44" s="6">
        <v>0.16</v>
      </c>
      <c r="CO44" s="6">
        <v>0.15</v>
      </c>
    </row>
    <row r="45" spans="1:93">
      <c r="B45" s="5">
        <f t="shared" ref="B45:K45" si="1">AVERAGE(B35,B38)</f>
        <v>0.67080000000000006</v>
      </c>
      <c r="C45" s="5">
        <f t="shared" si="1"/>
        <v>0.55235000000000001</v>
      </c>
      <c r="D45" s="5">
        <f t="shared" si="1"/>
        <v>0.52065000000000006</v>
      </c>
      <c r="E45" s="5">
        <f t="shared" si="1"/>
        <v>0.64280000000000004</v>
      </c>
      <c r="F45" s="5">
        <f t="shared" si="1"/>
        <v>1.9377</v>
      </c>
      <c r="G45" s="5">
        <f t="shared" si="1"/>
        <v>0.38724999999999998</v>
      </c>
      <c r="H45" s="5">
        <f t="shared" si="1"/>
        <v>0.44995000000000002</v>
      </c>
      <c r="I45" s="5">
        <f t="shared" si="1"/>
        <v>0.42615000000000003</v>
      </c>
      <c r="J45" s="5">
        <f t="shared" si="1"/>
        <v>0.57655000000000001</v>
      </c>
      <c r="K45" s="5">
        <f t="shared" si="1"/>
        <v>0.96189999999999998</v>
      </c>
      <c r="N45" s="6">
        <v>2.2344574285494877E-2</v>
      </c>
      <c r="O45" s="6">
        <v>3.2880465325174447E-2</v>
      </c>
      <c r="P45" s="6">
        <v>2.3546655813512028E-2</v>
      </c>
      <c r="Q45" s="6">
        <v>4.7376154339498724E-2</v>
      </c>
      <c r="R45" s="6">
        <v>9.0509667991878165E-2</v>
      </c>
      <c r="S45" s="6">
        <v>1.5485638507985374E-2</v>
      </c>
      <c r="T45" s="6">
        <v>1.2798632739476514E-2</v>
      </c>
      <c r="U45" s="6">
        <v>2.3405234457274698E-2</v>
      </c>
      <c r="V45" s="6">
        <v>7.5024029483892751E-2</v>
      </c>
      <c r="W45" s="6">
        <v>0.14778531726798819</v>
      </c>
      <c r="X45" s="6">
        <v>0.13145115062257887</v>
      </c>
      <c r="Y45" s="6">
        <v>0.10755094141847348</v>
      </c>
      <c r="Z45" s="6">
        <v>2.9203510063004416E-2</v>
      </c>
      <c r="AA45" s="6">
        <v>0.24359828611876441</v>
      </c>
      <c r="AB45" s="6">
        <v>2.3263813101037402E-2</v>
      </c>
      <c r="AC45" s="6">
        <v>6.3498188950551732E-2</v>
      </c>
      <c r="AD45" s="6">
        <v>4.2072853480599616E-2</v>
      </c>
      <c r="AE45" s="6">
        <v>5.6497831816805129E-2</v>
      </c>
      <c r="AF45" s="6">
        <v>4.8578235867515765E-2</v>
      </c>
      <c r="AG45" s="6">
        <v>3.181980515339463E-2</v>
      </c>
      <c r="AH45" s="6">
        <v>5.0840977567313546E-2</v>
      </c>
      <c r="AI45" s="6">
        <v>5.946768029778865E-2</v>
      </c>
      <c r="AJ45" s="6">
        <v>4.9356053326821032E-2</v>
      </c>
      <c r="AK45" s="6">
        <v>3.9315137033972068E-2</v>
      </c>
      <c r="AL45" s="6">
        <v>0.65704362107853864</v>
      </c>
      <c r="AM45" s="6">
        <v>0.13222896808188486</v>
      </c>
      <c r="AN45" s="6">
        <v>9.0509667991878328E-3</v>
      </c>
      <c r="AO45" s="6">
        <v>4.6032651455244274E-2</v>
      </c>
      <c r="AP45" s="6">
        <v>0.10776307345282991</v>
      </c>
      <c r="AQ45" s="6">
        <v>1.0465180361560928E-2</v>
      </c>
      <c r="AR45" s="6">
        <v>0.04</v>
      </c>
      <c r="AS45" s="6">
        <v>0.02</v>
      </c>
      <c r="AT45" s="6">
        <v>0.13</v>
      </c>
      <c r="AU45" s="6">
        <v>0.02</v>
      </c>
      <c r="AV45" s="6">
        <v>0.01</v>
      </c>
      <c r="AW45" s="6">
        <v>0.06</v>
      </c>
      <c r="AX45" s="6">
        <v>0.03</v>
      </c>
      <c r="AY45" s="6">
        <v>0.4</v>
      </c>
      <c r="AZ45" s="6">
        <v>0.1</v>
      </c>
      <c r="BA45" s="6">
        <v>0.06</v>
      </c>
      <c r="BB45" s="6">
        <v>0.05</v>
      </c>
      <c r="BC45" s="6">
        <v>0.04</v>
      </c>
      <c r="BD45" s="6">
        <v>0.01</v>
      </c>
      <c r="BE45" s="6">
        <v>0.02</v>
      </c>
      <c r="BF45" s="6">
        <v>0.01</v>
      </c>
      <c r="BG45" s="6">
        <v>0.01</v>
      </c>
      <c r="BH45" s="6">
        <v>0.27</v>
      </c>
      <c r="BI45" s="6">
        <v>0</v>
      </c>
      <c r="BJ45" s="6">
        <v>0.01</v>
      </c>
      <c r="BK45" s="6">
        <v>0</v>
      </c>
      <c r="BL45" s="6">
        <v>2.2485995641732093E-2</v>
      </c>
      <c r="BM45" s="6">
        <v>4.6669047558312179E-2</v>
      </c>
      <c r="BN45" s="6">
        <v>7.7569613896164361E-2</v>
      </c>
      <c r="BO45" s="6">
        <v>9.8358553263048765E-2</v>
      </c>
      <c r="BP45" s="6">
        <v>5.9396969619669735E-3</v>
      </c>
      <c r="BQ45" s="6">
        <v>1.4142135623730963E-3</v>
      </c>
      <c r="BR45" s="6">
        <v>1.378858223313767E-2</v>
      </c>
      <c r="BS45" s="6"/>
      <c r="BT45" s="6"/>
      <c r="BU45" s="6"/>
      <c r="BV45" s="6">
        <v>0.01</v>
      </c>
      <c r="BW45" s="6">
        <v>0.02</v>
      </c>
      <c r="BX45" s="6">
        <v>0.01</v>
      </c>
      <c r="BY45" s="6">
        <v>0.01</v>
      </c>
      <c r="BZ45" s="6">
        <v>0.27</v>
      </c>
      <c r="CA45" s="6">
        <v>0</v>
      </c>
      <c r="CB45" s="6">
        <v>0.01</v>
      </c>
      <c r="CC45" s="6">
        <v>0</v>
      </c>
      <c r="CD45" s="6">
        <v>0.01</v>
      </c>
      <c r="CE45" s="6">
        <v>0.01</v>
      </c>
      <c r="CF45" s="6">
        <v>0.27</v>
      </c>
      <c r="CG45" s="6">
        <v>0</v>
      </c>
      <c r="CH45" s="6">
        <v>0.01</v>
      </c>
      <c r="CI45" s="6">
        <v>0</v>
      </c>
      <c r="CJ45" s="6">
        <v>0.02</v>
      </c>
      <c r="CK45" s="6">
        <v>0.06</v>
      </c>
      <c r="CL45" s="6">
        <v>0.04</v>
      </c>
      <c r="CM45" s="6">
        <v>0.02</v>
      </c>
      <c r="CN45" s="6">
        <v>0.02</v>
      </c>
      <c r="CO45" s="6">
        <v>0</v>
      </c>
    </row>
    <row r="46" spans="1:93">
      <c r="B46" s="5">
        <f t="shared" ref="B46:K46" si="2">AVERAGE(B36,B39)</f>
        <v>1.3818999999999999</v>
      </c>
      <c r="C46" s="5">
        <f t="shared" si="2"/>
        <v>1.3557999999999999</v>
      </c>
      <c r="D46" s="5">
        <f t="shared" si="2"/>
        <v>1.40195</v>
      </c>
      <c r="E46" s="5">
        <f t="shared" si="2"/>
        <v>1.39985</v>
      </c>
      <c r="F46" s="5">
        <f t="shared" si="2"/>
        <v>0.39360000000000001</v>
      </c>
      <c r="G46" s="5">
        <f t="shared" si="2"/>
        <v>0.36930000000000002</v>
      </c>
      <c r="H46" s="5">
        <f t="shared" si="2"/>
        <v>1.60185</v>
      </c>
      <c r="I46" s="5">
        <f t="shared" si="2"/>
        <v>1.85555</v>
      </c>
      <c r="J46" s="5">
        <f t="shared" si="2"/>
        <v>0.20405000000000001</v>
      </c>
      <c r="K46" s="5">
        <f t="shared" si="2"/>
        <v>0.20924999999999999</v>
      </c>
    </row>
    <row r="47" spans="1:93">
      <c r="BJ47" t="s">
        <v>81</v>
      </c>
      <c r="BK47" t="s">
        <v>82</v>
      </c>
      <c r="BL47" t="s">
        <v>83</v>
      </c>
      <c r="BM47" t="s">
        <v>84</v>
      </c>
    </row>
    <row r="48" spans="1:93">
      <c r="BJ48" s="6">
        <v>1.51</v>
      </c>
      <c r="BK48" s="6">
        <v>1.49</v>
      </c>
      <c r="BL48" s="6">
        <v>1.38</v>
      </c>
      <c r="BM48" s="6">
        <v>1.43</v>
      </c>
    </row>
    <row r="49" spans="2:123">
      <c r="B49" t="s">
        <v>79</v>
      </c>
      <c r="N49" t="s">
        <v>79</v>
      </c>
      <c r="BJ49" s="6">
        <v>0.02</v>
      </c>
      <c r="BK49" s="6">
        <v>0.06</v>
      </c>
      <c r="BL49" s="6">
        <v>0.04</v>
      </c>
      <c r="BM49" s="6">
        <v>0.02</v>
      </c>
    </row>
    <row r="50" spans="2:123">
      <c r="B50" s="6">
        <f>STDEV(B37,B34)</f>
        <v>5.0204581464244839E-3</v>
      </c>
      <c r="C50" s="6">
        <f t="shared" ref="C50:K50" si="3">STDEV(C37,C34)</f>
        <v>3.4365389565666191E-2</v>
      </c>
      <c r="D50" s="6">
        <f t="shared" si="3"/>
        <v>2.1354624791833737E-2</v>
      </c>
      <c r="E50" s="6">
        <f t="shared" si="3"/>
        <v>2.0930360723121818E-2</v>
      </c>
      <c r="F50" s="6">
        <f t="shared" si="3"/>
        <v>1.3152186130069748E-2</v>
      </c>
      <c r="G50" s="6">
        <f t="shared" si="3"/>
        <v>2.2980970388562855E-2</v>
      </c>
      <c r="H50" s="6">
        <f t="shared" si="3"/>
        <v>4.2426406871188177E-4</v>
      </c>
      <c r="I50" s="6">
        <f t="shared" si="3"/>
        <v>3.7264527368531031E-2</v>
      </c>
      <c r="J50" s="6">
        <f t="shared" si="3"/>
        <v>0.11511698397716982</v>
      </c>
      <c r="K50" s="6">
        <f t="shared" si="3"/>
        <v>1.5697770542341352E-2</v>
      </c>
      <c r="AK50" t="s">
        <v>81</v>
      </c>
      <c r="AL50" t="s">
        <v>82</v>
      </c>
      <c r="AM50" t="s">
        <v>83</v>
      </c>
      <c r="AN50" t="s">
        <v>84</v>
      </c>
    </row>
    <row r="51" spans="2:123">
      <c r="B51" s="6">
        <f t="shared" ref="B51:K51" si="4">STDEV(B38,B35)</f>
        <v>2.2344574285494877E-2</v>
      </c>
      <c r="C51" s="6">
        <f t="shared" si="4"/>
        <v>3.2880465325174447E-2</v>
      </c>
      <c r="D51" s="6">
        <f t="shared" si="4"/>
        <v>2.3546655813512028E-2</v>
      </c>
      <c r="E51" s="6">
        <f t="shared" si="4"/>
        <v>4.7376154339498724E-2</v>
      </c>
      <c r="F51" s="6">
        <f t="shared" si="4"/>
        <v>9.0509667991878165E-2</v>
      </c>
      <c r="G51" s="6">
        <f t="shared" si="4"/>
        <v>1.5485638507985374E-2</v>
      </c>
      <c r="H51" s="6">
        <f t="shared" si="4"/>
        <v>1.2798632739476514E-2</v>
      </c>
      <c r="I51" s="6">
        <f t="shared" si="4"/>
        <v>2.3405234457274698E-2</v>
      </c>
      <c r="J51" s="6">
        <f t="shared" si="4"/>
        <v>7.5024029483892751E-2</v>
      </c>
      <c r="K51" s="6">
        <f t="shared" si="4"/>
        <v>0.14778531726798819</v>
      </c>
      <c r="AK51" s="6">
        <v>1.3818999999999999</v>
      </c>
      <c r="AL51" s="6">
        <v>1.3557999999999999</v>
      </c>
      <c r="AM51" s="6">
        <v>1.40195</v>
      </c>
      <c r="AN51" s="6">
        <v>1.39985</v>
      </c>
    </row>
    <row r="52" spans="2:123">
      <c r="B52" s="6">
        <f t="shared" ref="B52:K52" si="5">STDEV(B39,B36)</f>
        <v>2.2485995641732093E-2</v>
      </c>
      <c r="C52" s="6">
        <f t="shared" si="5"/>
        <v>4.6669047558312179E-2</v>
      </c>
      <c r="D52" s="6">
        <f t="shared" si="5"/>
        <v>7.7569613896164361E-2</v>
      </c>
      <c r="E52" s="6">
        <f t="shared" si="5"/>
        <v>9.8358553263048765E-2</v>
      </c>
      <c r="F52" s="6">
        <f t="shared" si="5"/>
        <v>5.9396969619669735E-3</v>
      </c>
      <c r="G52" s="6">
        <f t="shared" si="5"/>
        <v>1.4142135623730963E-3</v>
      </c>
      <c r="H52" s="6">
        <f t="shared" si="5"/>
        <v>7.3044130496570325E-2</v>
      </c>
      <c r="I52" s="6">
        <f t="shared" si="5"/>
        <v>0.18024151852445106</v>
      </c>
      <c r="J52" s="6">
        <f t="shared" si="5"/>
        <v>1.378858223313767E-2</v>
      </c>
      <c r="K52" s="6">
        <f t="shared" si="5"/>
        <v>2.4112341238461264E-2</v>
      </c>
      <c r="AK52" s="6">
        <v>2.2485995641732093E-2</v>
      </c>
      <c r="AL52" s="6">
        <v>4.6669047558312179E-2</v>
      </c>
      <c r="AM52" s="6">
        <v>7.7569613896164361E-2</v>
      </c>
      <c r="AN52" s="6">
        <v>9.8358553263048765E-2</v>
      </c>
    </row>
    <row r="54" spans="2:123">
      <c r="AK54" t="s">
        <v>85</v>
      </c>
      <c r="AL54" t="s">
        <v>86</v>
      </c>
      <c r="AM54" t="s">
        <v>80</v>
      </c>
      <c r="BN54">
        <v>1</v>
      </c>
      <c r="BO54">
        <v>2</v>
      </c>
      <c r="BP54">
        <v>3</v>
      </c>
      <c r="BQ54">
        <v>4</v>
      </c>
      <c r="BR54">
        <v>5</v>
      </c>
      <c r="BS54">
        <v>6</v>
      </c>
      <c r="BT54">
        <v>7</v>
      </c>
      <c r="BU54">
        <v>8</v>
      </c>
      <c r="BV54">
        <v>9</v>
      </c>
      <c r="BW54">
        <v>10</v>
      </c>
      <c r="BX54">
        <v>61</v>
      </c>
      <c r="BY54">
        <v>62</v>
      </c>
      <c r="BZ54">
        <v>63</v>
      </c>
      <c r="CA54">
        <v>64</v>
      </c>
      <c r="CB54">
        <v>65</v>
      </c>
      <c r="CC54">
        <v>66</v>
      </c>
      <c r="CD54">
        <v>67</v>
      </c>
      <c r="CE54">
        <v>68</v>
      </c>
      <c r="CF54">
        <v>69</v>
      </c>
      <c r="CG54">
        <v>70</v>
      </c>
      <c r="CH54">
        <v>71</v>
      </c>
      <c r="CI54">
        <v>72</v>
      </c>
      <c r="CJ54">
        <v>73</v>
      </c>
      <c r="CK54">
        <v>74</v>
      </c>
      <c r="CL54">
        <v>75</v>
      </c>
      <c r="CM54">
        <v>76</v>
      </c>
      <c r="CN54">
        <v>77</v>
      </c>
      <c r="CO54">
        <v>78</v>
      </c>
      <c r="CP54">
        <v>79</v>
      </c>
      <c r="CQ54">
        <v>80</v>
      </c>
      <c r="CR54">
        <v>81</v>
      </c>
      <c r="CS54">
        <v>82</v>
      </c>
      <c r="CT54">
        <v>83</v>
      </c>
      <c r="CU54">
        <v>84</v>
      </c>
      <c r="CV54">
        <v>85</v>
      </c>
      <c r="CW54">
        <v>86</v>
      </c>
      <c r="CX54">
        <v>87</v>
      </c>
      <c r="CY54">
        <v>88</v>
      </c>
      <c r="CZ54">
        <v>89</v>
      </c>
      <c r="DA54">
        <v>90</v>
      </c>
      <c r="DB54">
        <v>91</v>
      </c>
      <c r="DC54">
        <v>92</v>
      </c>
      <c r="DD54">
        <v>93</v>
      </c>
      <c r="DE54">
        <v>94</v>
      </c>
      <c r="DF54">
        <v>95</v>
      </c>
      <c r="DG54">
        <v>96</v>
      </c>
      <c r="DH54">
        <v>97</v>
      </c>
      <c r="DI54">
        <v>98</v>
      </c>
      <c r="DJ54">
        <v>99</v>
      </c>
      <c r="DK54">
        <v>100</v>
      </c>
      <c r="DL54" t="s">
        <v>129</v>
      </c>
      <c r="DM54" t="s">
        <v>130</v>
      </c>
      <c r="DN54" t="s">
        <v>131</v>
      </c>
      <c r="DO54" t="s">
        <v>132</v>
      </c>
      <c r="DP54" t="s">
        <v>127</v>
      </c>
      <c r="DQ54" t="s">
        <v>128</v>
      </c>
      <c r="DR54" t="s">
        <v>80</v>
      </c>
    </row>
    <row r="55" spans="2:123">
      <c r="AK55" s="6">
        <v>0.39360000000000001</v>
      </c>
      <c r="AL55" s="6">
        <v>0.36930000000000002</v>
      </c>
      <c r="AM55" s="6">
        <v>0.20405000000000001</v>
      </c>
      <c r="AN55" s="6">
        <v>0.20924999999999999</v>
      </c>
      <c r="BN55" t="s">
        <v>87</v>
      </c>
      <c r="BO55" t="s">
        <v>88</v>
      </c>
      <c r="BP55" t="s">
        <v>89</v>
      </c>
      <c r="BQ55" t="s">
        <v>90</v>
      </c>
      <c r="BR55" t="s">
        <v>91</v>
      </c>
      <c r="BS55" t="s">
        <v>92</v>
      </c>
      <c r="BT55" t="s">
        <v>93</v>
      </c>
      <c r="BU55" t="s">
        <v>94</v>
      </c>
      <c r="BV55" t="s">
        <v>95</v>
      </c>
      <c r="BW55" t="s">
        <v>96</v>
      </c>
      <c r="BX55" t="s">
        <v>97</v>
      </c>
      <c r="BY55" t="s">
        <v>98</v>
      </c>
      <c r="BZ55" t="s">
        <v>99</v>
      </c>
      <c r="CA55" t="s">
        <v>100</v>
      </c>
      <c r="CB55" t="s">
        <v>101</v>
      </c>
      <c r="CC55" t="s">
        <v>102</v>
      </c>
      <c r="CD55" t="s">
        <v>103</v>
      </c>
      <c r="CE55" t="s">
        <v>104</v>
      </c>
      <c r="CF55" t="s">
        <v>105</v>
      </c>
      <c r="CG55" t="s">
        <v>106</v>
      </c>
      <c r="CH55" t="s">
        <v>107</v>
      </c>
      <c r="CI55" t="s">
        <v>108</v>
      </c>
      <c r="CJ55" t="s">
        <v>109</v>
      </c>
      <c r="CK55" t="s">
        <v>110</v>
      </c>
      <c r="CL55" t="s">
        <v>111</v>
      </c>
      <c r="CM55" t="s">
        <v>112</v>
      </c>
      <c r="CN55" t="s">
        <v>113</v>
      </c>
      <c r="CO55" t="s">
        <v>114</v>
      </c>
      <c r="CP55" t="s">
        <v>115</v>
      </c>
      <c r="CQ55" t="s">
        <v>116</v>
      </c>
      <c r="CR55" t="s">
        <v>99</v>
      </c>
      <c r="CS55" t="s">
        <v>100</v>
      </c>
      <c r="CT55" t="s">
        <v>101</v>
      </c>
      <c r="CU55" t="s">
        <v>102</v>
      </c>
      <c r="CV55" t="s">
        <v>103</v>
      </c>
      <c r="CW55" t="s">
        <v>104</v>
      </c>
      <c r="CX55" t="s">
        <v>105</v>
      </c>
      <c r="CY55" t="s">
        <v>106</v>
      </c>
      <c r="CZ55" t="s">
        <v>107</v>
      </c>
      <c r="DA55" t="s">
        <v>108</v>
      </c>
      <c r="DB55" t="s">
        <v>109</v>
      </c>
      <c r="DC55" t="s">
        <v>110</v>
      </c>
      <c r="DD55" t="s">
        <v>111</v>
      </c>
      <c r="DE55" t="s">
        <v>112</v>
      </c>
      <c r="DF55" t="s">
        <v>113</v>
      </c>
      <c r="DG55" t="s">
        <v>114</v>
      </c>
      <c r="DH55" t="s">
        <v>115</v>
      </c>
      <c r="DI55" t="s">
        <v>116</v>
      </c>
      <c r="DJ55" t="s">
        <v>117</v>
      </c>
      <c r="DK55" t="s">
        <v>118</v>
      </c>
      <c r="DS55" s="6">
        <v>0.20924999999999999</v>
      </c>
    </row>
    <row r="56" spans="2:123">
      <c r="AK56" s="6">
        <v>5.9396969619669735E-3</v>
      </c>
      <c r="AL56" s="6">
        <v>1.4142135623730963E-3</v>
      </c>
      <c r="AM56" s="6">
        <v>1.378858223313767E-2</v>
      </c>
      <c r="AN56" s="6">
        <v>2.4112341238461264E-2</v>
      </c>
      <c r="BN56" s="6">
        <v>0.67080000000000006</v>
      </c>
      <c r="BO56" s="6">
        <v>0.55235000000000001</v>
      </c>
      <c r="BP56" s="6">
        <v>0.52065000000000006</v>
      </c>
      <c r="BQ56" s="6">
        <v>0.64280000000000004</v>
      </c>
      <c r="BR56" s="6">
        <v>1.9377</v>
      </c>
      <c r="BS56" s="6">
        <v>0.38724999999999998</v>
      </c>
      <c r="BT56" s="6">
        <v>0.44995000000000002</v>
      </c>
      <c r="BU56" s="6">
        <v>0.42615000000000003</v>
      </c>
      <c r="BV56" s="6">
        <v>0.57655000000000001</v>
      </c>
      <c r="BW56" s="6">
        <v>0.96189999999999998</v>
      </c>
      <c r="BX56" s="6">
        <v>0.52775000000000005</v>
      </c>
      <c r="BY56" s="6">
        <v>0.47855000000000003</v>
      </c>
      <c r="BZ56" s="6">
        <v>0.39674999999999999</v>
      </c>
      <c r="CA56" s="6">
        <v>1.41635</v>
      </c>
      <c r="CB56" s="6">
        <v>0.30074999999999996</v>
      </c>
      <c r="CC56" s="6">
        <v>0.442</v>
      </c>
      <c r="CD56" s="6">
        <v>0.42615000000000003</v>
      </c>
      <c r="CE56" s="6">
        <v>0.39155000000000001</v>
      </c>
      <c r="CF56" s="6">
        <v>0.50234999999999996</v>
      </c>
      <c r="CG56" s="6">
        <v>0.35599999999999998</v>
      </c>
      <c r="CH56" s="6">
        <v>0.35014999999999996</v>
      </c>
      <c r="CI56" s="6">
        <v>0.45045000000000002</v>
      </c>
      <c r="CJ56" s="6">
        <v>0.45499999999999996</v>
      </c>
      <c r="CK56" s="6">
        <v>0.35150000000000003</v>
      </c>
      <c r="CL56" s="6">
        <v>2.2242000000000002</v>
      </c>
      <c r="CM56" s="6">
        <v>0.58989999999999998</v>
      </c>
      <c r="CN56" s="6">
        <v>0.56570000000000009</v>
      </c>
      <c r="CO56" s="6">
        <v>0.59014999999999995</v>
      </c>
      <c r="CP56" s="6">
        <v>2.3010999999999999</v>
      </c>
      <c r="CQ56" s="6">
        <v>0.4894</v>
      </c>
      <c r="CR56" s="6">
        <v>0.4894</v>
      </c>
      <c r="CS56" s="6">
        <v>0.6</v>
      </c>
      <c r="CT56" s="6">
        <v>0.44</v>
      </c>
      <c r="CU56" s="6">
        <v>2.2400000000000002</v>
      </c>
      <c r="CV56" s="6">
        <v>0.45</v>
      </c>
      <c r="CW56" s="6">
        <v>0.56000000000000005</v>
      </c>
      <c r="CX56" s="6">
        <v>0.34</v>
      </c>
      <c r="CY56" s="6">
        <v>0.47</v>
      </c>
      <c r="CZ56" s="6">
        <v>2.71</v>
      </c>
      <c r="DA56" s="6">
        <v>0.57999999999999996</v>
      </c>
      <c r="DB56" s="6">
        <v>0.46</v>
      </c>
      <c r="DC56" s="6">
        <v>0.49</v>
      </c>
      <c r="DD56" s="6">
        <v>0.53</v>
      </c>
      <c r="DE56" s="6">
        <v>0.59</v>
      </c>
      <c r="DF56" s="6">
        <v>0.96</v>
      </c>
      <c r="DG56" s="6">
        <v>0.5</v>
      </c>
      <c r="DH56" s="6">
        <v>0.41</v>
      </c>
      <c r="DI56" s="6">
        <v>2.54</v>
      </c>
      <c r="DJ56" s="6">
        <v>0.57999999999999996</v>
      </c>
      <c r="DK56" s="6">
        <v>0.53</v>
      </c>
      <c r="DL56" s="6">
        <v>1.3818999999999999</v>
      </c>
      <c r="DM56" s="6">
        <v>1.3557999999999999</v>
      </c>
      <c r="DN56" s="6">
        <v>1.40195</v>
      </c>
      <c r="DO56" s="6">
        <v>1.39985</v>
      </c>
      <c r="DP56" s="6">
        <v>0.39360000000000001</v>
      </c>
      <c r="DQ56" s="6">
        <v>0.36930000000000002</v>
      </c>
      <c r="DR56" s="6">
        <v>0.20405000000000001</v>
      </c>
      <c r="DS56" s="6">
        <v>2.4112341238461264E-2</v>
      </c>
    </row>
    <row r="57" spans="2:123">
      <c r="BN57" s="6">
        <v>2.2344574285494877E-2</v>
      </c>
      <c r="BO57" s="6">
        <v>3.2880465325174447E-2</v>
      </c>
      <c r="BP57" s="6">
        <v>2.3546655813512028E-2</v>
      </c>
      <c r="BQ57" s="6">
        <v>4.7376154339498724E-2</v>
      </c>
      <c r="BR57" s="6">
        <v>9.0509667991878165E-2</v>
      </c>
      <c r="BS57" s="6">
        <v>1.5485638507985374E-2</v>
      </c>
      <c r="BT57" s="6">
        <v>1.2798632739476514E-2</v>
      </c>
      <c r="BU57" s="6">
        <v>2.3405234457274698E-2</v>
      </c>
      <c r="BV57" s="6">
        <v>7.5024029483892751E-2</v>
      </c>
      <c r="BW57" s="6">
        <v>0.14778531726798819</v>
      </c>
      <c r="BX57" s="6">
        <v>0.13145115062257887</v>
      </c>
      <c r="BY57" s="6">
        <v>0.10755094141847348</v>
      </c>
      <c r="BZ57" s="6">
        <v>2.9203510063004416E-2</v>
      </c>
      <c r="CA57" s="6">
        <v>0.24359828611876441</v>
      </c>
      <c r="CB57" s="6">
        <v>2.3263813101037402E-2</v>
      </c>
      <c r="CC57" s="6">
        <v>6.3498188950551732E-2</v>
      </c>
      <c r="CD57" s="6">
        <v>4.2072853480599616E-2</v>
      </c>
      <c r="CE57" s="6">
        <v>5.6497831816805129E-2</v>
      </c>
      <c r="CF57" s="6">
        <v>4.8578235867515765E-2</v>
      </c>
      <c r="CG57" s="6">
        <v>3.181980515339463E-2</v>
      </c>
      <c r="CH57" s="6">
        <v>5.0840977567313546E-2</v>
      </c>
      <c r="CI57" s="6">
        <v>5.946768029778865E-2</v>
      </c>
      <c r="CJ57" s="6">
        <v>4.9356053326821032E-2</v>
      </c>
      <c r="CK57" s="6">
        <v>3.9315137033972068E-2</v>
      </c>
      <c r="CL57" s="6">
        <v>0.65704362107853864</v>
      </c>
      <c r="CM57" s="6">
        <v>0.13222896808188486</v>
      </c>
      <c r="CN57" s="6">
        <v>9.0509667991878328E-3</v>
      </c>
      <c r="CO57" s="6">
        <v>4.6032651455244274E-2</v>
      </c>
      <c r="CP57" s="6">
        <v>0.10776307345282991</v>
      </c>
      <c r="CQ57" s="6">
        <v>1.0465180361560928E-2</v>
      </c>
      <c r="CR57" s="6">
        <v>1.0465180361560928E-2</v>
      </c>
      <c r="CS57" s="6">
        <v>0.04</v>
      </c>
      <c r="CT57" s="6">
        <v>0.02</v>
      </c>
      <c r="CU57" s="6">
        <v>0.13</v>
      </c>
      <c r="CV57" s="6">
        <v>0.02</v>
      </c>
      <c r="CW57" s="6">
        <v>0.01</v>
      </c>
      <c r="CX57" s="6">
        <v>0.06</v>
      </c>
      <c r="CY57" s="6">
        <v>0.03</v>
      </c>
      <c r="CZ57" s="6">
        <v>0.4</v>
      </c>
      <c r="DA57" s="6">
        <v>0.1</v>
      </c>
      <c r="DB57" s="6">
        <v>0.06</v>
      </c>
      <c r="DC57" s="6">
        <v>0.05</v>
      </c>
      <c r="DD57" s="6">
        <v>0.04</v>
      </c>
      <c r="DE57" s="6">
        <v>0.01</v>
      </c>
      <c r="DF57" s="6">
        <v>0.02</v>
      </c>
      <c r="DG57" s="6">
        <v>0.01</v>
      </c>
      <c r="DH57" s="6">
        <v>0.01</v>
      </c>
      <c r="DI57" s="6">
        <v>0.27</v>
      </c>
      <c r="DJ57" s="6">
        <v>0</v>
      </c>
      <c r="DK57" s="6">
        <v>0.01</v>
      </c>
      <c r="DL57" s="6">
        <v>2.2485995641732093E-2</v>
      </c>
      <c r="DM57" s="6">
        <v>4.6669047558312179E-2</v>
      </c>
      <c r="DN57" s="6">
        <v>7.7569613896164361E-2</v>
      </c>
      <c r="DO57" s="6">
        <v>9.8358553263048765E-2</v>
      </c>
      <c r="DP57" s="6">
        <v>5.9396969619669735E-3</v>
      </c>
      <c r="DQ57" s="6">
        <v>1.4142135623730963E-3</v>
      </c>
      <c r="DR57" s="6">
        <v>1.378858223313767E-2</v>
      </c>
      <c r="DS5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Abs_405_June_2_Raw_Data_&amp;_Plot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RV_Lab</dc:creator>
  <cp:lastModifiedBy>Pete Heinzelman</cp:lastModifiedBy>
  <dcterms:created xsi:type="dcterms:W3CDTF">2024-06-02T05:45:37Z</dcterms:created>
  <dcterms:modified xsi:type="dcterms:W3CDTF">2025-12-10T00:50:52Z</dcterms:modified>
</cp:coreProperties>
</file>